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tud\Downloads\Лабораторная работа №1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1" l="1"/>
  <c r="M24" i="1"/>
  <c r="M25" i="1" s="1"/>
  <c r="B16" i="1"/>
  <c r="E16" i="1" s="1"/>
  <c r="A16" i="1"/>
  <c r="D16" i="1" s="1"/>
  <c r="B19" i="1"/>
  <c r="E13" i="1"/>
  <c r="D13" i="1"/>
  <c r="C13" i="1"/>
  <c r="C16" i="1" l="1"/>
  <c r="F16" i="1" s="1"/>
  <c r="A19" i="1" s="1"/>
  <c r="E3" i="1"/>
  <c r="E4" i="1"/>
  <c r="E5" i="1"/>
  <c r="E6" i="1"/>
  <c r="E7" i="1"/>
  <c r="E8" i="1"/>
  <c r="D3" i="1"/>
  <c r="D4" i="1"/>
  <c r="D5" i="1"/>
  <c r="D6" i="1"/>
  <c r="D7" i="1"/>
  <c r="D8" i="1"/>
  <c r="C3" i="1"/>
  <c r="C4" i="1"/>
  <c r="C5" i="1"/>
  <c r="C6" i="1"/>
  <c r="C7" i="1"/>
  <c r="C8" i="1"/>
  <c r="E2" i="1"/>
  <c r="D2" i="1"/>
  <c r="C2" i="1"/>
</calcChain>
</file>

<file path=xl/sharedStrings.xml><?xml version="1.0" encoding="utf-8"?>
<sst xmlns="http://schemas.openxmlformats.org/spreadsheetml/2006/main" count="37" uniqueCount="33">
  <si>
    <t>x</t>
  </si>
  <si>
    <t>y</t>
  </si>
  <si>
    <t>xy</t>
  </si>
  <si>
    <t>x^2</t>
  </si>
  <si>
    <t>y^2</t>
  </si>
  <si>
    <t>x ср</t>
  </si>
  <si>
    <t>y ср</t>
  </si>
  <si>
    <t>cov(x,y)</t>
  </si>
  <si>
    <t>var x</t>
  </si>
  <si>
    <t>var y</t>
  </si>
  <si>
    <t>r(x,y)</t>
  </si>
  <si>
    <t>t выб</t>
  </si>
  <si>
    <t>t крит</t>
  </si>
  <si>
    <t>&lt;</t>
  </si>
  <si>
    <r>
      <rPr>
        <sz val="11"/>
        <color theme="1"/>
        <rFont val="Symbol"/>
        <family val="1"/>
        <charset val="2"/>
      </rPr>
      <t>a=</t>
    </r>
    <r>
      <rPr>
        <sz val="11"/>
        <color theme="1"/>
        <rFont val="Calibri"/>
        <family val="2"/>
      </rPr>
      <t>0,05</t>
    </r>
  </si>
  <si>
    <t>Обратная зависимость</t>
  </si>
  <si>
    <t>b1</t>
  </si>
  <si>
    <t>Уравнение регрессии</t>
  </si>
  <si>
    <t>b0</t>
  </si>
  <si>
    <t>Задание 3</t>
  </si>
  <si>
    <t>var(x)</t>
  </si>
  <si>
    <t>a</t>
  </si>
  <si>
    <t>y=bx+a</t>
  </si>
  <si>
    <t>b = cov(x,y)/var(x)</t>
  </si>
  <si>
    <t>a = y - b*x</t>
  </si>
  <si>
    <t>cov(x,y)=(y-a)*var(x)/x</t>
  </si>
  <si>
    <t>=</t>
  </si>
  <si>
    <t>Задание 4</t>
  </si>
  <si>
    <r>
      <t>у</t>
    </r>
    <r>
      <rPr>
        <sz val="14"/>
        <color theme="1"/>
        <rFont val="Times New Roman"/>
        <family val="1"/>
        <charset val="204"/>
      </rPr>
      <t xml:space="preserve"> = - 1178,64 + 0,22</t>
    </r>
    <r>
      <rPr>
        <i/>
        <sz val="14"/>
        <color theme="1"/>
        <rFont val="Times New Roman"/>
        <family val="1"/>
        <charset val="204"/>
      </rPr>
      <t>х</t>
    </r>
  </si>
  <si>
    <t>dy = 0,22 * (-1000) = - 220</t>
  </si>
  <si>
    <t>Итог: доход упадёт на 220р</t>
  </si>
  <si>
    <t>y=91,9158-5,5199x</t>
  </si>
  <si>
    <t>Уравнение регресии теряет смысл при x&gt;17, а также при околонулевых значениях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</si>
</sst>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</font>
    <font>
      <sz val="11"/>
      <color theme="1"/>
      <name val="Symbol"/>
      <family val="1"/>
      <charset val="2"/>
    </font>
    <font>
      <i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0" xfId="0" applyFont="1" applyBorder="1" applyAlignment="1">
      <alignment vertical="center" wrapText="1"/>
    </xf>
    <xf numFmtId="0" fontId="0" fillId="0" borderId="2" xfId="0" applyBorder="1"/>
    <xf numFmtId="0" fontId="1" fillId="0" borderId="1" xfId="0" applyFont="1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Fill="1" applyBorder="1"/>
    <xf numFmtId="0" fontId="2" fillId="0" borderId="0" xfId="0" applyFont="1" applyFill="1"/>
    <xf numFmtId="0" fontId="0" fillId="0" borderId="0" xfId="0" applyFont="1" applyFill="1" applyBorder="1" applyAlignment="1">
      <alignment horizontal="center"/>
    </xf>
    <xf numFmtId="0" fontId="0" fillId="0" borderId="1" xfId="0" applyFont="1" applyFill="1" applyBorder="1"/>
    <xf numFmtId="0" fontId="0" fillId="0" borderId="0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abSelected="1" zoomScale="88" workbookViewId="0">
      <selection activeCell="J14" sqref="J14"/>
    </sheetView>
  </sheetViews>
  <sheetFormatPr defaultRowHeight="15" x14ac:dyDescent="0.25"/>
  <cols>
    <col min="1" max="1" width="66.140625" customWidth="1"/>
    <col min="2" max="2" width="23.5703125" customWidth="1"/>
    <col min="15" max="15" width="24.28515625" customWidth="1"/>
  </cols>
  <sheetData>
    <row r="1" spans="1:15" x14ac:dyDescent="0.25">
      <c r="A1" s="3" t="s">
        <v>0</v>
      </c>
      <c r="B1" s="3" t="s">
        <v>1</v>
      </c>
      <c r="C1" s="5" t="s">
        <v>2</v>
      </c>
      <c r="D1" s="6" t="s">
        <v>3</v>
      </c>
      <c r="E1" s="7" t="s">
        <v>4</v>
      </c>
    </row>
    <row r="2" spans="1:15" ht="15.75" x14ac:dyDescent="0.25">
      <c r="A2" s="4">
        <v>4.5</v>
      </c>
      <c r="B2" s="4">
        <v>68.8</v>
      </c>
      <c r="C2" s="1">
        <f>A2*B2</f>
        <v>309.59999999999997</v>
      </c>
      <c r="D2" s="1">
        <f>A2*A2</f>
        <v>20.25</v>
      </c>
      <c r="E2" s="1">
        <f>B2*B2</f>
        <v>4733.4399999999996</v>
      </c>
    </row>
    <row r="3" spans="1:15" ht="15.75" x14ac:dyDescent="0.25">
      <c r="A3" s="4">
        <v>5.9</v>
      </c>
      <c r="B3" s="4">
        <v>58.3</v>
      </c>
      <c r="C3" s="1">
        <f t="shared" ref="C3:C8" si="0">A3*B3</f>
        <v>343.97</v>
      </c>
      <c r="D3" s="1">
        <f t="shared" ref="D3:D8" si="1">A3*A3</f>
        <v>34.81</v>
      </c>
      <c r="E3" s="1">
        <f t="shared" ref="E3:E8" si="2">B3*B3</f>
        <v>3398.89</v>
      </c>
    </row>
    <row r="4" spans="1:15" ht="15.75" x14ac:dyDescent="0.25">
      <c r="A4" s="4">
        <v>5.7</v>
      </c>
      <c r="B4" s="4">
        <v>62.6</v>
      </c>
      <c r="C4" s="1">
        <f t="shared" si="0"/>
        <v>356.82</v>
      </c>
      <c r="D4" s="1">
        <f t="shared" si="1"/>
        <v>32.49</v>
      </c>
      <c r="E4" s="1">
        <f t="shared" si="2"/>
        <v>3918.76</v>
      </c>
    </row>
    <row r="5" spans="1:15" ht="15.75" x14ac:dyDescent="0.25">
      <c r="A5" s="4">
        <v>7.2</v>
      </c>
      <c r="B5" s="4">
        <v>52.1</v>
      </c>
      <c r="C5" s="1">
        <f t="shared" si="0"/>
        <v>375.12</v>
      </c>
      <c r="D5" s="1">
        <f t="shared" si="1"/>
        <v>51.84</v>
      </c>
      <c r="E5" s="1">
        <f t="shared" si="2"/>
        <v>2714.4100000000003</v>
      </c>
    </row>
    <row r="6" spans="1:15" ht="15.75" x14ac:dyDescent="0.25">
      <c r="A6" s="4">
        <v>6.2</v>
      </c>
      <c r="B6" s="4">
        <v>54.5</v>
      </c>
      <c r="C6" s="1">
        <f t="shared" si="0"/>
        <v>337.90000000000003</v>
      </c>
      <c r="D6" s="1">
        <f t="shared" si="1"/>
        <v>38.440000000000005</v>
      </c>
      <c r="E6" s="1">
        <f t="shared" si="2"/>
        <v>2970.25</v>
      </c>
    </row>
    <row r="7" spans="1:15" ht="15.75" x14ac:dyDescent="0.25">
      <c r="A7" s="4">
        <v>6</v>
      </c>
      <c r="B7" s="4">
        <v>57.1</v>
      </c>
      <c r="C7" s="1">
        <f t="shared" si="0"/>
        <v>342.6</v>
      </c>
      <c r="D7" s="1">
        <f t="shared" si="1"/>
        <v>36</v>
      </c>
      <c r="E7" s="1">
        <f t="shared" si="2"/>
        <v>3260.4100000000003</v>
      </c>
    </row>
    <row r="8" spans="1:15" ht="15.75" x14ac:dyDescent="0.25">
      <c r="A8" s="4">
        <v>7.8</v>
      </c>
      <c r="B8" s="4">
        <v>51</v>
      </c>
      <c r="C8" s="1">
        <f t="shared" si="0"/>
        <v>397.8</v>
      </c>
      <c r="D8" s="1">
        <f t="shared" si="1"/>
        <v>60.839999999999996</v>
      </c>
      <c r="E8" s="1">
        <f t="shared" si="2"/>
        <v>2601</v>
      </c>
    </row>
    <row r="9" spans="1:15" ht="15.75" x14ac:dyDescent="0.25">
      <c r="A9" s="2"/>
    </row>
    <row r="11" spans="1:1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25">
      <c r="A13" s="10"/>
      <c r="B13" s="10"/>
      <c r="C13" s="11">
        <f>AVERAGE(C2:C8)</f>
        <v>351.97285714285715</v>
      </c>
      <c r="D13" s="11">
        <f>AVERAGE(D2:D8)</f>
        <v>39.238571428571433</v>
      </c>
      <c r="E13" s="11">
        <f>AVERAGE(E2:E8)</f>
        <v>3371.022857142857</v>
      </c>
      <c r="F13" s="12"/>
      <c r="G13" s="12"/>
      <c r="H13" s="12"/>
      <c r="I13" s="8"/>
      <c r="J13" s="8"/>
      <c r="K13" s="8"/>
      <c r="L13" s="8"/>
      <c r="M13" s="8"/>
      <c r="N13" s="8"/>
      <c r="O13" s="8"/>
    </row>
    <row r="14" spans="1:15" x14ac:dyDescent="0.25">
      <c r="A14" s="12"/>
      <c r="B14" s="12"/>
      <c r="C14" s="12"/>
      <c r="D14" s="12"/>
      <c r="E14" s="12"/>
      <c r="F14" s="12"/>
      <c r="G14" s="12"/>
      <c r="H14" s="12"/>
      <c r="I14" s="8"/>
      <c r="J14" s="8"/>
      <c r="K14" s="8"/>
      <c r="L14" s="8"/>
      <c r="M14" s="8"/>
      <c r="N14" s="8"/>
      <c r="O14" s="8"/>
    </row>
    <row r="15" spans="1:15" x14ac:dyDescent="0.25">
      <c r="A15" s="13" t="s">
        <v>5</v>
      </c>
      <c r="B15" s="13" t="s">
        <v>6</v>
      </c>
      <c r="C15" s="11" t="s">
        <v>7</v>
      </c>
      <c r="D15" s="11" t="s">
        <v>8</v>
      </c>
      <c r="E15" s="11" t="s">
        <v>9</v>
      </c>
      <c r="F15" s="11" t="s">
        <v>10</v>
      </c>
      <c r="G15" s="12"/>
      <c r="H15" s="12"/>
      <c r="I15" s="8"/>
      <c r="J15" s="8"/>
      <c r="K15" s="8"/>
      <c r="L15" s="8"/>
      <c r="M15" s="8"/>
      <c r="N15" s="8"/>
      <c r="O15" s="8"/>
    </row>
    <row r="16" spans="1:15" x14ac:dyDescent="0.25">
      <c r="A16" s="13">
        <f>AVERAGE(A2:A8)</f>
        <v>6.1857142857142851</v>
      </c>
      <c r="B16" s="13">
        <f>AVERAGE(B2:B8)</f>
        <v>57.771428571428565</v>
      </c>
      <c r="C16" s="11">
        <f>C13-(A16*B16)</f>
        <v>-5.3846938775509443</v>
      </c>
      <c r="D16" s="11">
        <f>D13-A16^2</f>
        <v>0.97551020408164391</v>
      </c>
      <c r="E16" s="11">
        <f>E13-B16^2</f>
        <v>33.484897959184309</v>
      </c>
      <c r="F16" s="11">
        <f>C16/(D16*E16)^0.5</f>
        <v>-0.94215123182620841</v>
      </c>
      <c r="G16" s="12"/>
      <c r="H16" s="12"/>
      <c r="I16" s="8"/>
      <c r="J16" s="8"/>
      <c r="K16" s="8"/>
      <c r="L16" s="8"/>
      <c r="M16" s="8"/>
      <c r="N16" s="8"/>
      <c r="O16" s="8"/>
    </row>
    <row r="17" spans="1:17" x14ac:dyDescent="0.25">
      <c r="A17" s="14"/>
      <c r="B17" s="14"/>
      <c r="C17" s="14"/>
      <c r="D17" s="14"/>
      <c r="E17" s="14"/>
      <c r="F17" s="14"/>
      <c r="G17" s="12"/>
      <c r="H17" s="12"/>
      <c r="I17" s="8"/>
      <c r="J17" s="8"/>
      <c r="K17" s="8"/>
      <c r="L17" s="8"/>
      <c r="M17" s="8"/>
      <c r="N17" s="8"/>
      <c r="O17" s="8"/>
    </row>
    <row r="18" spans="1:17" x14ac:dyDescent="0.25">
      <c r="A18" s="14" t="s">
        <v>11</v>
      </c>
      <c r="B18" s="14" t="s">
        <v>12</v>
      </c>
      <c r="C18" s="14"/>
      <c r="D18" s="14"/>
      <c r="E18" s="14"/>
      <c r="F18" s="14"/>
      <c r="G18" s="12"/>
      <c r="H18" s="12"/>
      <c r="I18" s="8"/>
      <c r="J18" s="8"/>
      <c r="K18" s="8"/>
      <c r="L18" s="8"/>
      <c r="M18" s="8"/>
      <c r="N18" s="8"/>
      <c r="O18" s="8"/>
    </row>
    <row r="19" spans="1:17" x14ac:dyDescent="0.25">
      <c r="A19" s="14">
        <f>(F16*(8^0.5))/(1-F16^2)^0.5</f>
        <v>-7.9501813191552557</v>
      </c>
      <c r="B19" s="14">
        <f>_xlfn.T.INV.2T(0.05,8)</f>
        <v>2.3060041352041671</v>
      </c>
      <c r="C19" s="14"/>
      <c r="D19" s="9" t="s">
        <v>14</v>
      </c>
      <c r="E19" s="14"/>
      <c r="F19" s="14"/>
      <c r="G19" s="12"/>
      <c r="H19" s="12"/>
      <c r="I19" s="8"/>
      <c r="J19" s="8"/>
      <c r="K19" s="8"/>
      <c r="L19" s="8"/>
      <c r="M19" s="8"/>
      <c r="N19" s="8"/>
      <c r="O19" s="8"/>
    </row>
    <row r="20" spans="1:17" x14ac:dyDescent="0.25">
      <c r="A20" s="14"/>
      <c r="B20" s="14"/>
      <c r="C20" s="14"/>
      <c r="D20" s="14"/>
      <c r="E20" s="14"/>
      <c r="F20" s="14"/>
      <c r="G20" s="12"/>
      <c r="H20" s="12"/>
      <c r="I20" s="8"/>
      <c r="J20" s="8"/>
      <c r="K20" s="8"/>
      <c r="L20" s="8"/>
      <c r="M20" s="8"/>
      <c r="N20" s="8"/>
      <c r="O20" s="8"/>
    </row>
    <row r="21" spans="1:17" x14ac:dyDescent="0.25">
      <c r="A21" s="14" t="s">
        <v>11</v>
      </c>
      <c r="B21" s="14" t="s">
        <v>13</v>
      </c>
      <c r="C21" s="14" t="s">
        <v>12</v>
      </c>
      <c r="D21" s="14" t="s">
        <v>15</v>
      </c>
      <c r="E21" s="15"/>
      <c r="F21" s="14"/>
      <c r="G21" s="12"/>
      <c r="H21" s="12"/>
      <c r="I21" s="8"/>
      <c r="J21" s="8"/>
      <c r="K21" s="8"/>
      <c r="L21" s="8"/>
      <c r="M21" s="8"/>
      <c r="N21" s="8"/>
      <c r="O21" s="8"/>
    </row>
    <row r="22" spans="1:17" x14ac:dyDescent="0.25">
      <c r="A22" s="12"/>
      <c r="B22" s="12"/>
      <c r="C22" s="12"/>
      <c r="D22" s="12"/>
      <c r="E22" s="12"/>
      <c r="F22" s="12"/>
      <c r="G22" s="12"/>
      <c r="H22" s="12"/>
      <c r="I22" s="8"/>
      <c r="J22" s="8"/>
      <c r="K22" s="8"/>
      <c r="L22" s="8"/>
      <c r="M22" s="8"/>
      <c r="N22" s="8"/>
      <c r="O22" s="8"/>
    </row>
    <row r="23" spans="1:17" x14ac:dyDescent="0.25">
      <c r="A23" s="12"/>
      <c r="B23" s="12"/>
      <c r="C23" s="12"/>
      <c r="D23" s="12"/>
      <c r="E23" s="12"/>
      <c r="F23" s="12"/>
      <c r="G23" s="12"/>
      <c r="H23" s="12"/>
      <c r="I23" s="8"/>
      <c r="J23" s="8"/>
      <c r="K23" s="8"/>
      <c r="L23" s="8"/>
      <c r="M23" s="8"/>
      <c r="N23" s="8"/>
      <c r="O23" s="8"/>
    </row>
    <row r="24" spans="1:17" x14ac:dyDescent="0.25">
      <c r="A24" s="12"/>
      <c r="B24" s="12"/>
      <c r="C24" s="12"/>
      <c r="D24" s="12"/>
      <c r="E24" s="12"/>
      <c r="F24" s="12"/>
      <c r="G24" s="12"/>
      <c r="H24" s="12"/>
      <c r="I24" s="8"/>
      <c r="J24" s="8"/>
      <c r="K24" s="8"/>
      <c r="L24" t="s">
        <v>16</v>
      </c>
      <c r="M24">
        <f>C16/D16</f>
        <v>-5.5198744769873063</v>
      </c>
      <c r="O24" t="s">
        <v>31</v>
      </c>
      <c r="Q24" t="s">
        <v>17</v>
      </c>
    </row>
    <row r="25" spans="1:17" x14ac:dyDescent="0.25">
      <c r="A25" s="12"/>
      <c r="B25" s="12"/>
      <c r="C25" s="12"/>
      <c r="D25" s="12"/>
      <c r="E25" s="12"/>
      <c r="F25" s="12"/>
      <c r="G25" s="12"/>
      <c r="H25" s="12"/>
      <c r="I25" s="8"/>
      <c r="J25" s="8"/>
      <c r="K25" s="8"/>
      <c r="L25" t="s">
        <v>18</v>
      </c>
      <c r="M25">
        <f>B16-(M24*A16)</f>
        <v>91.915794979078612</v>
      </c>
    </row>
    <row r="26" spans="1:17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 t="s">
        <v>32</v>
      </c>
    </row>
    <row r="41" spans="1:4" x14ac:dyDescent="0.25">
      <c r="A41" t="s">
        <v>19</v>
      </c>
    </row>
    <row r="42" spans="1:4" x14ac:dyDescent="0.25">
      <c r="A42" s="1" t="s">
        <v>5</v>
      </c>
      <c r="B42" s="1" t="s">
        <v>6</v>
      </c>
      <c r="C42" s="1" t="s">
        <v>20</v>
      </c>
      <c r="D42" s="1" t="s">
        <v>21</v>
      </c>
    </row>
    <row r="43" spans="1:4" x14ac:dyDescent="0.25">
      <c r="A43" s="1">
        <v>15.5</v>
      </c>
      <c r="B43" s="1">
        <v>2329.4670000000001</v>
      </c>
      <c r="C43" s="1">
        <v>74.917000000000002</v>
      </c>
      <c r="D43" s="1">
        <v>1398.2940000000001</v>
      </c>
    </row>
    <row r="46" spans="1:4" x14ac:dyDescent="0.25">
      <c r="B46" t="s">
        <v>22</v>
      </c>
    </row>
    <row r="47" spans="1:4" x14ac:dyDescent="0.25">
      <c r="B47" t="s">
        <v>23</v>
      </c>
    </row>
    <row r="48" spans="1:4" x14ac:dyDescent="0.25">
      <c r="B48" t="s">
        <v>24</v>
      </c>
    </row>
    <row r="49" spans="1:4" x14ac:dyDescent="0.25">
      <c r="B49" t="s">
        <v>25</v>
      </c>
      <c r="C49" t="s">
        <v>26</v>
      </c>
      <c r="D49">
        <f>(B43-D43)*C43/A43</f>
        <v>4500.6895252258064</v>
      </c>
    </row>
    <row r="54" spans="1:4" x14ac:dyDescent="0.25">
      <c r="A54" t="s">
        <v>27</v>
      </c>
    </row>
    <row r="55" spans="1:4" ht="18.75" x14ac:dyDescent="0.3">
      <c r="A55" s="16" t="s">
        <v>28</v>
      </c>
    </row>
    <row r="56" spans="1:4" x14ac:dyDescent="0.25">
      <c r="A56" t="s">
        <v>29</v>
      </c>
      <c r="B56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RKuzur</dc:creator>
  <cp:lastModifiedBy>asustud</cp:lastModifiedBy>
  <dcterms:created xsi:type="dcterms:W3CDTF">2015-06-05T18:17:20Z</dcterms:created>
  <dcterms:modified xsi:type="dcterms:W3CDTF">2026-10-21T14:26:32Z</dcterms:modified>
</cp:coreProperties>
</file>